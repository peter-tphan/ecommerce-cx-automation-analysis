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ed Intents by Volume" sheetId="1" r:id="rId4"/>
  </sheets>
  <definedNames/>
  <calcPr/>
  <extLst>
    <ext uri="GoogleSheetsCustomDataVersion2">
      <go:sheetsCustomData xmlns:go="http://customooxmlschemas.google.com/" r:id="rId5" roundtripDataChecksum="M/TOcLheRjG4Buda1BRJZ+K5xLLmEFXkuk+18Jtbcw0="/>
    </ext>
  </extLst>
</workbook>
</file>

<file path=xl/sharedStrings.xml><?xml version="1.0" encoding="utf-8"?>
<sst xmlns="http://schemas.openxmlformats.org/spreadsheetml/2006/main" count="36" uniqueCount="24">
  <si>
    <r>
      <rPr>
        <rFont val="Calibri"/>
        <b/>
        <color theme="1"/>
        <sz val="18.0"/>
      </rPr>
      <t>Automated Intents by Volume:</t>
    </r>
    <r>
      <rPr>
        <rFont val="Calibri"/>
        <color theme="1"/>
        <sz val="18.0"/>
      </rPr>
      <t xml:space="preserve"> This dataset lists the top customer intents received over the phone, the total volume of these intents, the volume handled by our automated system, and the percentage of phone calls automated successfully.</t>
    </r>
  </si>
  <si>
    <t>Intent</t>
  </si>
  <si>
    <t>Total Volume</t>
  </si>
  <si>
    <t>Automated Volume</t>
  </si>
  <si>
    <t>Automation %</t>
  </si>
  <si>
    <t>Order Status</t>
  </si>
  <si>
    <t>Request Representative</t>
  </si>
  <si>
    <t>Cancel Order</t>
  </si>
  <si>
    <t>Unable to Understand</t>
  </si>
  <si>
    <t>Update Order</t>
  </si>
  <si>
    <t>Delivery/Shipping Issue</t>
  </si>
  <si>
    <t>Product Inquiry</t>
  </si>
  <si>
    <t>Return Request</t>
  </si>
  <si>
    <t>Billing Issue</t>
  </si>
  <si>
    <t>Account Management</t>
  </si>
  <si>
    <t>Technical Support</t>
  </si>
  <si>
    <t>Feedback</t>
  </si>
  <si>
    <t>Totals</t>
  </si>
  <si>
    <r>
      <rPr>
        <rFont val="Calibri (Body)"/>
        <b/>
        <color theme="1"/>
        <sz val="18.0"/>
      </rPr>
      <t xml:space="preserve">Recontact Rates: </t>
    </r>
    <r>
      <rPr>
        <rFont val="Calibri (Body)"/>
        <color theme="1"/>
        <sz val="18.0"/>
      </rPr>
      <t>This dataset details the recontact rates for each intent across different communication channels—phone, email, and chat. It includes the total number of recontacts by channel and the overall recontact rate, highlighting areas where customers needed further assistance after initial automated handling. This information is crucial for identifying and improving aspects of our automation system to enhance customer satisfaction and efficiency.</t>
    </r>
  </si>
  <si>
    <t>Recontact by Phone #</t>
  </si>
  <si>
    <t>Recontact By Email #</t>
  </si>
  <si>
    <t>Recontact by Chat #</t>
  </si>
  <si>
    <t>Overall Recontact #</t>
  </si>
  <si>
    <t>Overall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</si>
</sst>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8.0"/>
      <color theme="1"/>
      <name val="Calibri"/>
    </font>
    <font/>
    <font>
      <sz val="11.0"/>
      <color theme="1"/>
      <name val="Calibri"/>
    </font>
    <font>
      <b/>
      <sz val="11.0"/>
      <color theme="1"/>
      <name val="Calibri"/>
    </font>
    <font>
      <color theme="1"/>
      <name val="Calibri"/>
      <scheme val="minor"/>
    </font>
    <font>
      <sz val="11.0"/>
      <color rgb="FF000000"/>
      <name val="Calibri"/>
    </font>
  </fonts>
  <fills count="2">
    <fill>
      <patternFill patternType="none"/>
    </fill>
    <fill>
      <patternFill patternType="lightGray"/>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1" fillId="0" fontId="2" numFmtId="0" xfId="0" applyBorder="1" applyFont="1"/>
    <xf borderId="0" fillId="0" fontId="3" numFmtId="0" xfId="0" applyAlignment="1" applyFont="1">
      <alignment shrinkToFit="0" wrapText="1"/>
    </xf>
    <xf borderId="2" fillId="0" fontId="4" numFmtId="0" xfId="0" applyAlignment="1" applyBorder="1" applyFont="1">
      <alignment horizontal="center" vertical="top"/>
    </xf>
    <xf borderId="0" fillId="0" fontId="5" numFmtId="0" xfId="0" applyFont="1"/>
    <xf borderId="0" fillId="0" fontId="3" numFmtId="1" xfId="0" applyFont="1" applyNumberFormat="1"/>
    <xf borderId="0" fillId="0" fontId="3" numFmtId="9" xfId="0" applyFont="1" applyNumberFormat="1"/>
    <xf borderId="0" fillId="0" fontId="4" numFmtId="0" xfId="0" applyFont="1"/>
    <xf borderId="0" fillId="0" fontId="4" numFmtId="1" xfId="0" applyFont="1" applyNumberFormat="1"/>
    <xf borderId="0" fillId="0" fontId="4" numFmtId="9" xfId="0" applyFont="1" applyNumberFormat="1"/>
    <xf borderId="0" fillId="0" fontId="6"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2" width="29.86"/>
    <col customWidth="1" min="3" max="3" width="37.71"/>
    <col customWidth="1" min="4" max="4" width="43.43"/>
    <col customWidth="1" min="5" max="5" width="24.14"/>
    <col customWidth="1" min="6" max="6" width="31.14"/>
    <col customWidth="1" min="7" max="26" width="8.86"/>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4" t="s">
        <v>2</v>
      </c>
      <c r="C2" s="4" t="s">
        <v>3</v>
      </c>
      <c r="D2" s="4" t="s">
        <v>4</v>
      </c>
    </row>
    <row r="3">
      <c r="A3" s="5" t="s">
        <v>5</v>
      </c>
      <c r="B3" s="5">
        <v>15000.0</v>
      </c>
      <c r="C3" s="6">
        <v>8932.248201482027</v>
      </c>
      <c r="D3" s="7">
        <f>C3/B3</f>
        <v>0.5954832134</v>
      </c>
    </row>
    <row r="4">
      <c r="A4" s="5" t="s">
        <v>6</v>
      </c>
      <c r="B4" s="5">
        <v>12500.0</v>
      </c>
      <c r="C4" s="6">
        <v>0.0</v>
      </c>
      <c r="D4" s="7">
        <v>0.0</v>
      </c>
    </row>
    <row r="5">
      <c r="A5" s="5" t="s">
        <v>7</v>
      </c>
      <c r="B5" s="5">
        <v>12000.0</v>
      </c>
      <c r="C5" s="6">
        <v>5670.997902299159</v>
      </c>
      <c r="D5" s="7">
        <f>C5/B5</f>
        <v>0.4725831585</v>
      </c>
    </row>
    <row r="6">
      <c r="A6" s="5" t="s">
        <v>8</v>
      </c>
      <c r="B6" s="5">
        <v>10000.0</v>
      </c>
      <c r="C6" s="6">
        <v>0.0</v>
      </c>
      <c r="D6" s="7">
        <v>0.0</v>
      </c>
    </row>
    <row r="7">
      <c r="A7" s="5" t="s">
        <v>9</v>
      </c>
      <c r="B7" s="5">
        <v>10000.0</v>
      </c>
      <c r="C7" s="6">
        <v>4615.448803192714</v>
      </c>
      <c r="D7" s="7">
        <f t="shared" ref="D7:D15" si="1">C7/B7</f>
        <v>0.4615448803</v>
      </c>
    </row>
    <row r="8">
      <c r="A8" s="5" t="s">
        <v>10</v>
      </c>
      <c r="B8" s="5">
        <v>9000.0</v>
      </c>
      <c r="C8" s="6">
        <v>3915.18904945485</v>
      </c>
      <c r="D8" s="7">
        <f t="shared" si="1"/>
        <v>0.4350210055</v>
      </c>
    </row>
    <row r="9">
      <c r="A9" s="5" t="s">
        <v>11</v>
      </c>
      <c r="B9" s="5">
        <v>8000.0</v>
      </c>
      <c r="C9" s="6">
        <v>4182.829433349975</v>
      </c>
      <c r="D9" s="7">
        <f t="shared" si="1"/>
        <v>0.5228536792</v>
      </c>
    </row>
    <row r="10">
      <c r="A10" s="5" t="s">
        <v>12</v>
      </c>
      <c r="B10" s="5">
        <v>7000.0</v>
      </c>
      <c r="C10" s="6">
        <v>3002.6224120482298</v>
      </c>
      <c r="D10" s="7">
        <f t="shared" si="1"/>
        <v>0.4289460589</v>
      </c>
    </row>
    <row r="11">
      <c r="A11" s="5" t="s">
        <v>13</v>
      </c>
      <c r="B11" s="5">
        <v>4000.0</v>
      </c>
      <c r="C11" s="6">
        <v>2233.848586945698</v>
      </c>
      <c r="D11" s="7">
        <f t="shared" si="1"/>
        <v>0.5584621467</v>
      </c>
    </row>
    <row r="12">
      <c r="A12" s="5" t="s">
        <v>14</v>
      </c>
      <c r="B12" s="5">
        <v>3000.0</v>
      </c>
      <c r="C12" s="6">
        <v>1466.2704231572632</v>
      </c>
      <c r="D12" s="7">
        <f t="shared" si="1"/>
        <v>0.4887568077</v>
      </c>
    </row>
    <row r="13">
      <c r="A13" s="5" t="s">
        <v>15</v>
      </c>
      <c r="B13" s="5">
        <v>2000.0</v>
      </c>
      <c r="C13" s="6">
        <v>888.3456403025723</v>
      </c>
      <c r="D13" s="7">
        <f t="shared" si="1"/>
        <v>0.4441728202</v>
      </c>
    </row>
    <row r="14">
      <c r="A14" s="5" t="s">
        <v>16</v>
      </c>
      <c r="B14" s="5">
        <v>1000.0</v>
      </c>
      <c r="C14" s="6">
        <v>528.911005040597</v>
      </c>
      <c r="D14" s="7">
        <f t="shared" si="1"/>
        <v>0.528911005</v>
      </c>
    </row>
    <row r="15">
      <c r="A15" s="8" t="s">
        <v>17</v>
      </c>
      <c r="B15" s="8">
        <f t="shared" ref="B15:C15" si="2">SUM(B3:B14)</f>
        <v>93500</v>
      </c>
      <c r="C15" s="9">
        <f t="shared" si="2"/>
        <v>35436.71146</v>
      </c>
      <c r="D15" s="10">
        <f t="shared" si="1"/>
        <v>0.3790022616</v>
      </c>
    </row>
    <row r="16" ht="28.5" customHeight="1"/>
    <row r="17">
      <c r="A17" s="1" t="s">
        <v>18</v>
      </c>
      <c r="B17" s="2"/>
      <c r="C17" s="2"/>
      <c r="D17" s="2"/>
      <c r="E17" s="2"/>
      <c r="F17" s="2"/>
      <c r="G17" s="3"/>
      <c r="H17" s="3"/>
      <c r="I17" s="3"/>
      <c r="J17" s="3"/>
      <c r="K17" s="3"/>
      <c r="L17" s="3"/>
      <c r="M17" s="3"/>
      <c r="N17" s="3"/>
      <c r="O17" s="3"/>
      <c r="P17" s="3"/>
      <c r="Q17" s="3"/>
      <c r="R17" s="3"/>
      <c r="S17" s="3"/>
      <c r="T17" s="3"/>
      <c r="U17" s="3"/>
      <c r="V17" s="3"/>
      <c r="W17" s="3"/>
      <c r="X17" s="3"/>
      <c r="Y17" s="3"/>
      <c r="Z17" s="3"/>
    </row>
    <row r="18">
      <c r="A18" s="4" t="s">
        <v>1</v>
      </c>
      <c r="B18" s="4" t="s">
        <v>19</v>
      </c>
      <c r="C18" s="4" t="s">
        <v>20</v>
      </c>
      <c r="D18" s="4" t="s">
        <v>21</v>
      </c>
      <c r="E18" s="4" t="s">
        <v>22</v>
      </c>
      <c r="F18" s="4" t="s">
        <v>23</v>
      </c>
    </row>
    <row r="19">
      <c r="A19" s="5" t="s">
        <v>5</v>
      </c>
      <c r="B19" s="6">
        <v>158.0</v>
      </c>
      <c r="C19" s="6">
        <v>104.0</v>
      </c>
      <c r="D19" s="6">
        <v>163.0</v>
      </c>
      <c r="E19" s="6">
        <f t="shared" ref="E19:E28" si="3">SUM(B19:D19)</f>
        <v>425</v>
      </c>
      <c r="F19" s="7">
        <f>E19/C3</f>
        <v>0.04758040646</v>
      </c>
    </row>
    <row r="20">
      <c r="A20" s="5" t="s">
        <v>7</v>
      </c>
      <c r="B20" s="6">
        <v>869.0</v>
      </c>
      <c r="C20" s="6">
        <v>113.0</v>
      </c>
      <c r="D20" s="6">
        <v>134.0</v>
      </c>
      <c r="E20" s="6">
        <f t="shared" si="3"/>
        <v>1116</v>
      </c>
      <c r="F20" s="7">
        <f>E20/C5</f>
        <v>0.1967907623</v>
      </c>
    </row>
    <row r="21" ht="15.75" customHeight="1">
      <c r="A21" s="5" t="s">
        <v>9</v>
      </c>
      <c r="B21" s="6">
        <v>287.0</v>
      </c>
      <c r="C21" s="6">
        <v>180.0</v>
      </c>
      <c r="D21" s="6">
        <v>88.0</v>
      </c>
      <c r="E21" s="6">
        <f t="shared" si="3"/>
        <v>555</v>
      </c>
      <c r="F21" s="7">
        <f t="shared" ref="F21:F29" si="4">E21/C7</f>
        <v>0.1202483277</v>
      </c>
    </row>
    <row r="22" ht="15.75" customHeight="1">
      <c r="A22" s="5" t="s">
        <v>10</v>
      </c>
      <c r="B22" s="6">
        <v>114.0</v>
      </c>
      <c r="C22" s="6">
        <v>700.0</v>
      </c>
      <c r="D22" s="6">
        <v>123.0</v>
      </c>
      <c r="E22" s="6">
        <f t="shared" si="3"/>
        <v>937</v>
      </c>
      <c r="F22" s="7">
        <f t="shared" si="4"/>
        <v>0.239324331</v>
      </c>
    </row>
    <row r="23" ht="15.75" customHeight="1">
      <c r="A23" s="5" t="s">
        <v>11</v>
      </c>
      <c r="B23" s="6">
        <v>145.0</v>
      </c>
      <c r="C23" s="6">
        <v>184.0</v>
      </c>
      <c r="D23" s="6">
        <v>164.0</v>
      </c>
      <c r="E23" s="6">
        <f t="shared" si="3"/>
        <v>493</v>
      </c>
      <c r="F23" s="7">
        <f t="shared" si="4"/>
        <v>0.1178628026</v>
      </c>
    </row>
    <row r="24" ht="15.75" customHeight="1">
      <c r="A24" s="5" t="s">
        <v>12</v>
      </c>
      <c r="B24" s="6">
        <v>289.0</v>
      </c>
      <c r="C24" s="6">
        <v>70.0</v>
      </c>
      <c r="D24" s="6">
        <v>127.0</v>
      </c>
      <c r="E24" s="6">
        <f t="shared" si="3"/>
        <v>486</v>
      </c>
      <c r="F24" s="7">
        <f t="shared" si="4"/>
        <v>0.1618585134</v>
      </c>
    </row>
    <row r="25" ht="15.75" customHeight="1">
      <c r="A25" s="5" t="s">
        <v>13</v>
      </c>
      <c r="B25" s="11">
        <v>137.0</v>
      </c>
      <c r="C25" s="11">
        <v>61.0</v>
      </c>
      <c r="D25" s="11">
        <v>102.0</v>
      </c>
      <c r="E25" s="6">
        <f t="shared" si="3"/>
        <v>300</v>
      </c>
      <c r="F25" s="7">
        <f t="shared" si="4"/>
        <v>0.1342973744</v>
      </c>
    </row>
    <row r="26" ht="15.75" customHeight="1">
      <c r="A26" s="5" t="s">
        <v>14</v>
      </c>
      <c r="B26" s="11">
        <v>144.5</v>
      </c>
      <c r="C26" s="11">
        <v>108.0</v>
      </c>
      <c r="D26" s="11">
        <v>79.0</v>
      </c>
      <c r="E26" s="6">
        <f t="shared" si="3"/>
        <v>331.5</v>
      </c>
      <c r="F26" s="7">
        <f t="shared" si="4"/>
        <v>0.2260838074</v>
      </c>
    </row>
    <row r="27" ht="15.75" customHeight="1">
      <c r="A27" s="5" t="s">
        <v>15</v>
      </c>
      <c r="B27" s="11">
        <v>75.0</v>
      </c>
      <c r="C27" s="11">
        <v>33.5</v>
      </c>
      <c r="D27" s="11">
        <v>83.0</v>
      </c>
      <c r="E27" s="6">
        <f t="shared" si="3"/>
        <v>191.5</v>
      </c>
      <c r="F27" s="7">
        <f t="shared" si="4"/>
        <v>0.2155692461</v>
      </c>
    </row>
    <row r="28" ht="15.75" customHeight="1">
      <c r="A28" s="5" t="s">
        <v>16</v>
      </c>
      <c r="B28" s="6">
        <f t="shared" ref="B28:D28" si="5">B27/2</f>
        <v>37.5</v>
      </c>
      <c r="C28" s="6">
        <f t="shared" si="5"/>
        <v>16.75</v>
      </c>
      <c r="D28" s="6">
        <f t="shared" si="5"/>
        <v>41.5</v>
      </c>
      <c r="E28" s="6">
        <f t="shared" si="3"/>
        <v>95.75</v>
      </c>
      <c r="F28" s="7">
        <f t="shared" si="4"/>
        <v>0.1810323459</v>
      </c>
    </row>
    <row r="29" ht="15.75" customHeight="1">
      <c r="A29" s="8" t="s">
        <v>17</v>
      </c>
      <c r="B29" s="9">
        <f t="shared" ref="B29:E29" si="6">SUM(B19:B28)</f>
        <v>2256</v>
      </c>
      <c r="C29" s="9">
        <f t="shared" si="6"/>
        <v>1570.25</v>
      </c>
      <c r="D29" s="9">
        <f t="shared" si="6"/>
        <v>1104.5</v>
      </c>
      <c r="E29" s="9">
        <f t="shared" si="6"/>
        <v>4930.75</v>
      </c>
      <c r="F29" s="10">
        <f t="shared" si="4"/>
        <v>0.139142426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17:F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2024-07-16T04:54:40Z</dcterms:created>
</cp:coreProperties>
</file>